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5535249B-8443-46AE-BD3D-68B8DDAA5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rusDB" sheetId="1" r:id="rId1"/>
    <sheet name="SystemLog" sheetId="2" r:id="rId2"/>
  </sheets>
  <calcPr calcId="191029"/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<sst xmlns="http://schemas.openxmlformats.org/spreadsheetml/2006/main" count="21" uniqueCount="19">
  <si>
    <t>Malware_ID</t>
  </si>
  <si>
    <t>Tên mã độc</t>
  </si>
  <si>
    <t>Mô tả</t>
  </si>
  <si>
    <t>Mức độ</t>
  </si>
  <si>
    <t>MDL_1023</t>
  </si>
  <si>
    <t>Emotet</t>
  </si>
  <si>
    <t>Banking Trojan</t>
  </si>
  <si>
    <t>Cao</t>
  </si>
  <si>
    <t>MDL_2045</t>
  </si>
  <si>
    <t>Lokibot</t>
  </si>
  <si>
    <t>Info Stealer</t>
  </si>
  <si>
    <t>Trung bình</t>
  </si>
  <si>
    <t>MDL_3099</t>
  </si>
  <si>
    <t>Cobalt Strike</t>
  </si>
  <si>
    <t>Penetration Tool</t>
  </si>
  <si>
    <t>Mã độc thô</t>
  </si>
  <si>
    <t xml:space="preserve"> MDL_1023 </t>
  </si>
  <si>
    <t xml:space="preserve">MDL_2045 </t>
  </si>
  <si>
    <t xml:space="preserve">  MDL_3099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</si>
</sst>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15</v>
      </c>
      <c r="B1" s="1" t="s">
        <v>1</v>
      </c>
    </row>
    <row r="2" spans="1:2" x14ac:dyDescent="0.3">
      <c r="A2" t="s">
        <v>16</v>
      </c>
      <c r="B2" t="str">
        <f>VLOOKUP(TRIM(A2),VirusDB!$A$2:$D$100,2,FALSE)</f>
        <v>Emotet</v>
      </c>
    </row>
    <row r="3" spans="1:2" x14ac:dyDescent="0.3">
      <c r="A3" t="s">
        <v>17</v>
      </c>
      <c r="B3" t="str">
        <f>VLOOKUP(TRIM(A3),VirusDB!$A$2:$D$100,2,FALSE)</f>
        <v>Lokibot</v>
      </c>
    </row>
    <row r="4" spans="1:2" x14ac:dyDescent="0.3">
      <c r="A4" t="s">
        <v>18</v>
      </c>
      <c r="B4" t="str">
        <f>VLOOKUP(TRIM(A4),VirusDB!$A$2:$D$100,2,FALSE)</f>
        <v>Cobalt Strike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VirusDB</vt:lpstr>
      <vt:lpstr>SystemLog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Yến Hoàng</cp:lastModifiedBy>
  <dcterms:created xsi:type="dcterms:W3CDTF">2026-10-26T09:38:57Z</dcterms:created>
  <dcterms:modified xsi:type="dcterms:W3CDTF">2026-10-26T09:42:52Z</dcterms:modified>
</cp:coreProperties>
</file>